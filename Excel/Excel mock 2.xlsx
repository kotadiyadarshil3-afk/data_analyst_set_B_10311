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bd0b99b86f847f/Documents/Mock 2 Practical/Excel/"/>
    </mc:Choice>
  </mc:AlternateContent>
  <xr:revisionPtr revIDLastSave="0" documentId="8_{49285231-FDC5-4950-81C5-98B304DF6183}" xr6:coauthVersionLast="47" xr6:coauthVersionMax="47" xr10:uidLastSave="{00000000-0000-0000-0000-000000000000}"/>
  <bookViews>
    <workbookView xWindow="-108" yWindow="-108" windowWidth="23256" windowHeight="13176" xr2:uid="{E447A719-BD8F-4908-B6F3-2EF8512FDCCA}"/>
  </bookViews>
  <sheets>
    <sheet name="Raw" sheetId="2" r:id="rId1"/>
    <sheet name="Lookup" sheetId="3" r:id="rId2"/>
    <sheet name="Clean" sheetId="4" r:id="rId3"/>
    <sheet name="Summary" sheetId="1" r:id="rId4"/>
  </sheets>
  <definedNames>
    <definedName name="ExternalData_1" localSheetId="2" hidden="1">Clean!$A$1:$F$13</definedName>
    <definedName name="ExternalData_1" localSheetId="1" hidden="1">Lookup!$A$1:$C$5</definedName>
    <definedName name="ExternalData_1" localSheetId="0" hidden="1">Raw!$A$1:$F$14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2" i="1"/>
  <c r="B3" i="1"/>
  <c r="H2" i="4"/>
  <c r="H3" i="4"/>
  <c r="H4" i="4"/>
  <c r="H5" i="4"/>
  <c r="H6" i="4"/>
  <c r="H7" i="4"/>
  <c r="H8" i="4"/>
  <c r="H9" i="4"/>
  <c r="H10" i="4"/>
  <c r="H11" i="4"/>
  <c r="H12" i="4"/>
  <c r="H13" i="4"/>
  <c r="G2" i="4"/>
  <c r="G3" i="4"/>
  <c r="G4" i="4"/>
  <c r="G5" i="4"/>
  <c r="G6" i="4"/>
  <c r="G7" i="4"/>
  <c r="G8" i="4"/>
  <c r="G9" i="4"/>
  <c r="G10" i="4"/>
  <c r="G11" i="4"/>
  <c r="G12" i="4"/>
  <c r="G13" i="4"/>
  <c r="B18" i="4"/>
  <c r="B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8DBD7-D643-4D7A-8330-46CD4ECC7A4D}" keepAlive="1" name="Query - teams" description="Connection to the 'teams' query in the workbook." type="5" refreshedVersion="8" background="1" saveData="1">
    <dbPr connection="Provider=Microsoft.Mashup.OleDb.1;Data Source=$Workbook$;Location=teams;Extended Properties=&quot;&quot;" command="SELECT * FROM [teams]"/>
  </connection>
  <connection id="2" xr16:uid="{1D5BD6C9-958E-4B4B-854C-0B5CCB51B5FB}" keepAlive="1" name="Query - tickets" description="Connection to the 'tickets' query in the workbook." type="5" refreshedVersion="8" background="1" saveData="1">
    <dbPr connection="Provider=Microsoft.Mashup.OleDb.1;Data Source=$Workbook$;Location=tickets;Extended Properties=&quot;&quot;" command="SELECT * FROM [tickets]"/>
  </connection>
  <connection id="3" xr16:uid="{1F79F7FE-8F3F-4FDD-B82D-DE7504058FBA}" keepAlive="1" name="Query - tickets (2)" description="Connection to the 'tickets (2)' query in the workbook." type="5" refreshedVersion="8" background="1" saveData="1">
    <dbPr connection="Provider=Microsoft.Mashup.OleDb.1;Data Source=$Workbook$;Location=&quot;tickets (2)&quot;;Extended Properties=&quot;&quot;" command="SELECT * FROM [tickets (2)]"/>
  </connection>
</connections>
</file>

<file path=xl/sharedStrings.xml><?xml version="1.0" encoding="utf-8"?>
<sst xmlns="http://schemas.openxmlformats.org/spreadsheetml/2006/main" count="121" uniqueCount="35">
  <si>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</si>
  <si>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</si>
  <si>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</si>
  <si>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</si>
  <si>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</si>
  <si>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</si>
  <si>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</si>
  <si>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</si>
  <si>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</si>
  <si>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</si>
  <si>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</si>
  <si>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</si>
  <si>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</si>
  <si>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</si>
  <si>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</si>
  <si>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</si>
  <si>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</si>
  <si>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</si>
  <si>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</si>
  <si>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</si>
  <si>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</si>
  <si>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</si>
  <si>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</si>
  <si>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</si>
  <si>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 xml:space="preserve">After Remove Duplicate Row </t>
  </si>
  <si>
    <t xml:space="preserve">Before Remove Duplicate Row </t>
  </si>
  <si>
    <t>breach_flag</t>
  </si>
  <si>
    <t>Channel</t>
  </si>
  <si>
    <t xml:space="preserve">Phone </t>
  </si>
  <si>
    <t xml:space="preserve">Email </t>
  </si>
  <si>
    <t>Breached Tickets</t>
  </si>
  <si>
    <t>Row Labels</t>
  </si>
  <si>
    <t>Grand Total</t>
  </si>
  <si>
    <t>Column Labels</t>
  </si>
  <si>
    <t>Sum of resolution_hours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</si>
</sst>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mock 2.xlsx]Summary!PivotTable2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Summary!$B$7:$B$8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Summary!$B$9:$B$11</c:f>
              <c:numCache>
                <c:formatCode>General</c:formatCode>
                <c:ptCount val="2"/>
                <c:pt idx="0">
                  <c:v>40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7-48E3-8236-64BE5BD836FB}"/>
            </c:ext>
          </c:extLst>
        </c:ser>
        <c:ser>
          <c:idx val="1"/>
          <c:order val="1"/>
          <c:tx>
            <c:strRef>
              <c:f>Summary!$C$7:$C$8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Summary!$C$9:$C$11</c:f>
              <c:numCache>
                <c:formatCode>General</c:formatCode>
                <c:ptCount val="2"/>
                <c:pt idx="0">
                  <c:v>38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A7-48E3-8236-64BE5BD836FB}"/>
            </c:ext>
          </c:extLst>
        </c:ser>
        <c:ser>
          <c:idx val="2"/>
          <c:order val="2"/>
          <c:tx>
            <c:strRef>
              <c:f>Summary!$D$7:$D$8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Summary!$A$9:$A$11</c:f>
              <c:strCache>
                <c:ptCount val="2"/>
                <c:pt idx="0">
                  <c:v>Service</c:v>
                </c:pt>
                <c:pt idx="1">
                  <c:v>Technical</c:v>
                </c:pt>
              </c:strCache>
            </c:strRef>
          </c:cat>
          <c:val>
            <c:numRef>
              <c:f>Summary!$D$9:$D$11</c:f>
              <c:numCache>
                <c:formatCode>General</c:formatCode>
                <c:ptCount val="2"/>
                <c:pt idx="0">
                  <c:v>38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7-48E3-8236-64BE5BD836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0991056"/>
        <c:axId val="743038287"/>
      </c:barChart>
      <c:catAx>
        <c:axId val="40099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038287"/>
        <c:crosses val="autoZero"/>
        <c:auto val="1"/>
        <c:lblAlgn val="ctr"/>
        <c:lblOffset val="100"/>
        <c:noMultiLvlLbl val="0"/>
      </c:catAx>
      <c:valAx>
        <c:axId val="7430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99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579120</xdr:colOff>
      <xdr:row>0</xdr:row>
      <xdr:rowOff>175260</xdr:rowOff>
    </xdr:from>
    <xdr:to>
      <xdr:col>13</xdr:col>
      <xdr:colOff>274320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FB19AF-B550-33B9-445E-8391895A6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8.506380208331" createdVersion="8" refreshedVersion="8" minRefreshableVersion="3" recordCount="12" xr:uid="{9587C99D-1FB4-4C6E-931D-2D69C1BED8CF}">
  <cacheSource type="worksheet">
    <worksheetSource name="tickets4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/>
    </cacheField>
    <cacheField name="satisfaction" numFmtId="0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T1"/>
    <s v="Email"/>
    <n v="12"/>
    <n v="4"/>
    <x v="0"/>
    <n v="0"/>
  </r>
  <r>
    <n v="2"/>
    <x v="0"/>
    <s v="T2"/>
    <s v="Chat"/>
    <n v="28"/>
    <n v="3"/>
    <x v="0"/>
    <n v="1"/>
  </r>
  <r>
    <n v="3"/>
    <x v="0"/>
    <s v="T3"/>
    <s v="Phone"/>
    <n v="36"/>
    <n v="2"/>
    <x v="1"/>
    <n v="1"/>
  </r>
  <r>
    <n v="4"/>
    <x v="0"/>
    <s v="T4"/>
    <s v="Email"/>
    <n v="20"/>
    <n v="4"/>
    <x v="1"/>
    <n v="0"/>
  </r>
  <r>
    <n v="5"/>
    <x v="1"/>
    <s v="T1"/>
    <s v="Chat"/>
    <n v="8"/>
    <n v="5"/>
    <x v="0"/>
    <n v="0"/>
  </r>
  <r>
    <n v="6"/>
    <x v="1"/>
    <s v="T2"/>
    <s v="Phone"/>
    <n v="30"/>
    <n v="3"/>
    <x v="0"/>
    <n v="1"/>
  </r>
  <r>
    <n v="7"/>
    <x v="1"/>
    <s v="T3"/>
    <s v="Email"/>
    <n v="18"/>
    <n v="4"/>
    <x v="1"/>
    <n v="0"/>
  </r>
  <r>
    <n v="8"/>
    <x v="1"/>
    <s v="T4"/>
    <s v="Chat"/>
    <n v="40"/>
    <n v="2"/>
    <x v="1"/>
    <n v="1"/>
  </r>
  <r>
    <n v="9"/>
    <x v="2"/>
    <s v="T1"/>
    <s v="Phone"/>
    <n v="16"/>
    <n v="4"/>
    <x v="0"/>
    <n v="0"/>
  </r>
  <r>
    <n v="10"/>
    <x v="2"/>
    <s v="T2"/>
    <s v="Email"/>
    <n v="22"/>
    <n v="4"/>
    <x v="0"/>
    <n v="0"/>
  </r>
  <r>
    <n v="11"/>
    <x v="2"/>
    <s v="T3"/>
    <s v="Chat"/>
    <n v="32"/>
    <n v="3"/>
    <x v="1"/>
    <n v="1"/>
  </r>
  <r>
    <n v="12"/>
    <x v="2"/>
    <s v="T4"/>
    <s v="Phone"/>
    <n v="24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199F5-06C2-411C-B22C-A2A24136716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7:E11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resolution_hours" fld="4" baseField="0" baseItem="0"/>
  </dataFields>
  <chartFormats count="3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78CB1D8-8610-4427-AD9E-4DBDD9DD2341}" autoFormatId="16" applyNumberFormats="0" applyBorderFormats="0" applyFontFormats="0" applyPatternFormats="0" applyAlignmentFormats="0" applyWidthHeightFormats="0">
  <queryTableRefresh nextId="7">
    <queryTableFields count="6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877454-C448-4DDE-A955-FB0F295F0B3D}" autoFormatId="16" applyNumberFormats="0" applyBorderFormats="0" applyFontFormats="0" applyPatternFormats="0" applyAlignmentFormats="0" applyWidthHeightFormats="0">
  <queryTableRefresh nextId="4">
    <queryTableFields count="3">
      <queryTableField id="1" name="team_id" tableColumnId="1"/>
      <queryTableField id="2" name="team" tableColumnId="2"/>
      <queryTableField id="3" name="departm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74DAD99-B9E2-4CBE-AEBC-C540C1ACCFC4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ticket_id" tableColumnId="1"/>
      <queryTableField id="2" name="month" tableColumnId="2"/>
      <queryTableField id="3" name="team_id" tableColumnId="3"/>
      <queryTableField id="4" name="channel" tableColumnId="4"/>
      <queryTableField id="5" name="resolution_hours" tableColumnId="5"/>
      <queryTableField id="6" name="satisfaction" tableColumnId="6"/>
      <queryTableField id="7" dataBound="0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FFD7C-DBC0-4747-9D35-9FCBD4D9B2D2}" name="tickets" displayName="tickets" ref="A1:F14" tableType="queryTable" totalsRowShown="0">
  <autoFilter ref="A1:F14" xr:uid="{568FFD7C-DBC0-4747-9D35-9FCBD4D9B2D2}"/>
  <tableColumns count="6">
    <tableColumn id="1" xr3:uid="{6F500634-F0C5-42EE-9D67-BDA5046424AD}" uniqueName="1" name="ticket_id" queryTableFieldId="1"/>
    <tableColumn id="2" xr3:uid="{1309977C-7398-4333-95FE-3E12FA5F75C9}" uniqueName="2" name="month" queryTableFieldId="2" dataDxfId="10"/>
    <tableColumn id="3" xr3:uid="{4288C5B9-2159-4F8C-A132-70C4DD23E02E}" uniqueName="3" name="team_id" queryTableFieldId="3" dataDxfId="9"/>
    <tableColumn id="4" xr3:uid="{E203C241-9C90-4B0C-A0BA-E0ADEF7D4D4C}" uniqueName="4" name="channel" queryTableFieldId="4" dataDxfId="8"/>
    <tableColumn id="5" xr3:uid="{06465712-7568-4D1C-A563-7091488E6AC4}" uniqueName="5" name="resolution_hours" queryTableFieldId="5"/>
    <tableColumn id="6" xr3:uid="{2802FA46-3D14-4E53-B566-90D6A07FE295}" uniqueName="6" name="satisfaction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D059E7-9B95-4847-9F54-A96626AEAE7B}" name="teams" displayName="teams" ref="A1:C5" tableType="queryTable" totalsRowShown="0">
  <autoFilter ref="A1:C5" xr:uid="{55D059E7-9B95-4847-9F54-A96626AEAE7B}"/>
  <tableColumns count="3">
    <tableColumn id="1" xr3:uid="{C0D353B4-2D54-46DE-94A8-CBA3D4ECA2BB}" uniqueName="1" name="team_id" queryTableFieldId="1" dataDxfId="7"/>
    <tableColumn id="2" xr3:uid="{3A044D67-6B0D-4434-91F3-54B3D9140E39}" uniqueName="2" name="team" queryTableFieldId="2" dataDxfId="6"/>
    <tableColumn id="3" xr3:uid="{FFAB4197-6E0F-408D-9D89-A10E971CBBF0}" uniqueName="3" name="department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22A87E-F4CC-4570-A3EA-DD78220D4A74}" name="tickets4" displayName="tickets4" ref="A1:H13" tableType="queryTable" totalsRowShown="0">
  <autoFilter ref="A1:H13" xr:uid="{BE22A87E-F4CC-4570-A3EA-DD78220D4A74}"/>
  <tableColumns count="8">
    <tableColumn id="1" xr3:uid="{C682FB5C-B635-44CE-95F5-84071FA7DB51}" uniqueName="1" name="ticket_id" queryTableFieldId="1"/>
    <tableColumn id="2" xr3:uid="{6A132A5C-858D-4148-999A-C81534D97727}" uniqueName="2" name="month" queryTableFieldId="2" dataDxfId="4"/>
    <tableColumn id="3" xr3:uid="{BB889188-E227-4A26-A16F-4A27FB476FCD}" uniqueName="3" name="team_id" queryTableFieldId="3" dataDxfId="3"/>
    <tableColumn id="4" xr3:uid="{36274304-2415-4CDA-9CB0-7E409B3ED154}" uniqueName="4" name="channel" queryTableFieldId="4" dataDxfId="2"/>
    <tableColumn id="5" xr3:uid="{3A349AC5-794A-4B1A-8854-3C5042FE187F}" uniqueName="5" name="resolution_hours" queryTableFieldId="5"/>
    <tableColumn id="6" xr3:uid="{21B71728-EC0B-4491-87A4-B310B486B820}" uniqueName="6" name="satisfaction" queryTableFieldId="6"/>
    <tableColumn id="7" xr3:uid="{2752A654-C0FD-4D85-8D98-0933915500D2}" uniqueName="7" name="department" queryTableFieldId="7" dataDxfId="1">
      <calculatedColumnFormula>INDEX(Lookup!$C:$C,MATCH(C2,Lookup!$A:$A,0))</calculatedColumnFormula>
    </tableColumn>
    <tableColumn id="9" xr3:uid="{0DB77946-6D29-4F53-999F-7FD6D4B9BAE2}" uniqueName="9" name="breach_flag" queryTableFieldId="9" dataDxfId="0">
      <calculatedColumnFormula>IF(tickets4[[#This Row],[resolution_hours]]&gt;24,1,0)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BB2688-BA82-470C-8E3F-683FB5D6609E}" name="Table4" displayName="Table4" ref="A1:B4" totalsRowShown="0">
  <autoFilter ref="A1:B4" xr:uid="{D0BB2688-BA82-470C-8E3F-683FB5D6609E}"/>
  <tableColumns count="2">
    <tableColumn id="1" xr3:uid="{3BFD119B-5FB4-4CC6-8C30-D84BE7499B54}" name="Channel"/>
    <tableColumn id="2" xr3:uid="{CCCF4257-16D9-443E-BD03-C78B7587C342}" name="Breached Tick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494E-F5B1-4A28-AD1F-F615AB5105D1}">
  <dimension ref="A1:F14"/>
  <sheetViews>
    <sheetView tabSelected="1" workbookViewId="0"/>
  </sheetViews>
  <sheetFormatPr defaultRowHeight="14.4" x14ac:dyDescent="0.3"/>
  <cols>
    <col min="1" max="1" width="10.5546875" bestFit="1" customWidth="1"/>
    <col min="2" max="2" width="8.5546875" bestFit="1" customWidth="1"/>
    <col min="3" max="3" width="10" bestFit="1" customWidth="1"/>
    <col min="4" max="4" width="9.77734375" bestFit="1" customWidth="1"/>
    <col min="5" max="5" width="17" bestFit="1" customWidth="1"/>
    <col min="6" max="6" width="13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12</v>
      </c>
      <c r="F2">
        <v>4</v>
      </c>
    </row>
    <row r="3" spans="1:6" x14ac:dyDescent="0.3">
      <c r="A3">
        <v>2</v>
      </c>
      <c r="B3" s="1" t="s">
        <v>6</v>
      </c>
      <c r="C3" s="1" t="s">
        <v>9</v>
      </c>
      <c r="D3" s="1" t="s">
        <v>10</v>
      </c>
      <c r="E3">
        <v>28</v>
      </c>
      <c r="F3">
        <v>3</v>
      </c>
    </row>
    <row r="4" spans="1:6" x14ac:dyDescent="0.3">
      <c r="A4">
        <v>3</v>
      </c>
      <c r="B4" s="1" t="s">
        <v>6</v>
      </c>
      <c r="C4" s="1" t="s">
        <v>11</v>
      </c>
      <c r="D4" s="1" t="s">
        <v>12</v>
      </c>
      <c r="E4">
        <v>36</v>
      </c>
      <c r="F4">
        <v>2</v>
      </c>
    </row>
    <row r="5" spans="1:6" x14ac:dyDescent="0.3">
      <c r="A5">
        <v>4</v>
      </c>
      <c r="B5" s="1" t="s">
        <v>6</v>
      </c>
      <c r="C5" s="1" t="s">
        <v>13</v>
      </c>
      <c r="D5" s="1" t="s">
        <v>8</v>
      </c>
      <c r="E5">
        <v>20</v>
      </c>
      <c r="F5">
        <v>4</v>
      </c>
    </row>
    <row r="6" spans="1:6" x14ac:dyDescent="0.3">
      <c r="A6">
        <v>5</v>
      </c>
      <c r="B6" s="1" t="s">
        <v>14</v>
      </c>
      <c r="C6" s="1" t="s">
        <v>7</v>
      </c>
      <c r="D6" s="1" t="s">
        <v>10</v>
      </c>
      <c r="E6">
        <v>8</v>
      </c>
      <c r="F6">
        <v>5</v>
      </c>
    </row>
    <row r="7" spans="1:6" x14ac:dyDescent="0.3">
      <c r="A7">
        <v>6</v>
      </c>
      <c r="B7" s="1" t="s">
        <v>14</v>
      </c>
      <c r="C7" s="1" t="s">
        <v>9</v>
      </c>
      <c r="D7" s="1" t="s">
        <v>12</v>
      </c>
      <c r="E7">
        <v>30</v>
      </c>
      <c r="F7">
        <v>3</v>
      </c>
    </row>
    <row r="8" spans="1:6" x14ac:dyDescent="0.3">
      <c r="A8">
        <v>7</v>
      </c>
      <c r="B8" s="1" t="s">
        <v>14</v>
      </c>
      <c r="C8" s="1" t="s">
        <v>11</v>
      </c>
      <c r="D8" s="1" t="s">
        <v>8</v>
      </c>
      <c r="E8">
        <v>18</v>
      </c>
      <c r="F8">
        <v>4</v>
      </c>
    </row>
    <row r="9" spans="1:6" x14ac:dyDescent="0.3">
      <c r="A9">
        <v>8</v>
      </c>
      <c r="B9" s="1" t="s">
        <v>14</v>
      </c>
      <c r="C9" s="1" t="s">
        <v>13</v>
      </c>
      <c r="D9" s="1" t="s">
        <v>10</v>
      </c>
      <c r="E9">
        <v>40</v>
      </c>
      <c r="F9">
        <v>2</v>
      </c>
    </row>
    <row r="10" spans="1:6" x14ac:dyDescent="0.3">
      <c r="A10">
        <v>9</v>
      </c>
      <c r="B10" s="1" t="s">
        <v>15</v>
      </c>
      <c r="C10" s="1" t="s">
        <v>7</v>
      </c>
      <c r="D10" s="1" t="s">
        <v>12</v>
      </c>
      <c r="E10">
        <v>16</v>
      </c>
      <c r="F10">
        <v>4</v>
      </c>
    </row>
    <row r="11" spans="1:6" x14ac:dyDescent="0.3">
      <c r="A11">
        <v>10</v>
      </c>
      <c r="B11" s="1" t="s">
        <v>15</v>
      </c>
      <c r="C11" s="1" t="s">
        <v>9</v>
      </c>
      <c r="D11" s="1" t="s">
        <v>8</v>
      </c>
      <c r="E11">
        <v>22</v>
      </c>
      <c r="F11">
        <v>4</v>
      </c>
    </row>
    <row r="12" spans="1:6" x14ac:dyDescent="0.3">
      <c r="A12">
        <v>11</v>
      </c>
      <c r="B12" s="1" t="s">
        <v>15</v>
      </c>
      <c r="C12" s="1" t="s">
        <v>11</v>
      </c>
      <c r="D12" s="1" t="s">
        <v>10</v>
      </c>
      <c r="E12">
        <v>32</v>
      </c>
      <c r="F12">
        <v>3</v>
      </c>
    </row>
    <row r="13" spans="1:6" x14ac:dyDescent="0.3">
      <c r="A13">
        <v>12</v>
      </c>
      <c r="B13" s="1" t="s">
        <v>15</v>
      </c>
      <c r="C13" s="1" t="s">
        <v>13</v>
      </c>
      <c r="D13" s="1" t="s">
        <v>12</v>
      </c>
      <c r="E13">
        <v>24</v>
      </c>
      <c r="F13">
        <v>5</v>
      </c>
    </row>
    <row r="14" spans="1:6" x14ac:dyDescent="0.3">
      <c r="A14">
        <v>12</v>
      </c>
      <c r="B14" s="1" t="s">
        <v>15</v>
      </c>
      <c r="C14" s="1" t="s">
        <v>13</v>
      </c>
      <c r="D14" s="1" t="s">
        <v>12</v>
      </c>
      <c r="E14">
        <v>24</v>
      </c>
      <c r="F1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C3CB-89AF-40BC-9AD8-F16B517E144F}">
  <dimension ref="A1:C5"/>
  <sheetViews>
    <sheetView workbookViewId="0">
      <selection activeCell="C1" sqref="C1"/>
    </sheetView>
  </sheetViews>
  <sheetFormatPr defaultRowHeight="14.4" x14ac:dyDescent="0.3"/>
  <cols>
    <col min="1" max="1" width="10" bestFit="1" customWidth="1"/>
    <col min="2" max="2" width="11.5546875" bestFit="1" customWidth="1"/>
    <col min="3" max="3" width="13.10937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13</v>
      </c>
      <c r="B5" s="1" t="s">
        <v>23</v>
      </c>
      <c r="C5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D965-E817-446E-B905-A665D5FADBF8}">
  <dimension ref="A1:H18"/>
  <sheetViews>
    <sheetView workbookViewId="0">
      <selection sqref="A1:H13"/>
    </sheetView>
  </sheetViews>
  <sheetFormatPr defaultRowHeight="14.4" x14ac:dyDescent="0.3"/>
  <cols>
    <col min="1" max="1" width="25.6640625" bestFit="1" customWidth="1"/>
    <col min="2" max="2" width="8.5546875" bestFit="1" customWidth="1"/>
    <col min="3" max="3" width="10" bestFit="1" customWidth="1"/>
    <col min="4" max="4" width="9.77734375" bestFit="1" customWidth="1"/>
    <col min="5" max="5" width="17" bestFit="1" customWidth="1"/>
    <col min="6" max="6" width="13" bestFit="1" customWidth="1"/>
    <col min="7" max="7" width="13.109375" bestFit="1" customWidth="1"/>
    <col min="8" max="8" width="12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26</v>
      </c>
    </row>
    <row r="2" spans="1:8" x14ac:dyDescent="0.3">
      <c r="A2">
        <v>1</v>
      </c>
      <c r="B2" s="1" t="s">
        <v>6</v>
      </c>
      <c r="C2" s="1" t="s">
        <v>7</v>
      </c>
      <c r="D2" s="1" t="s">
        <v>8</v>
      </c>
      <c r="E2">
        <v>12</v>
      </c>
      <c r="F2">
        <v>4</v>
      </c>
      <c r="G2" s="1" t="str">
        <f>INDEX(Lookup!$C:$C,MATCH(C2,Lookup!$A:$A,0))</f>
        <v>Service</v>
      </c>
      <c r="H2" s="2">
        <f>IF(tickets4[[#This Row],[resolution_hours]]&gt;24,1,0)</f>
        <v>0</v>
      </c>
    </row>
    <row r="3" spans="1:8" x14ac:dyDescent="0.3">
      <c r="A3">
        <v>2</v>
      </c>
      <c r="B3" s="1" t="s">
        <v>6</v>
      </c>
      <c r="C3" s="1" t="s">
        <v>9</v>
      </c>
      <c r="D3" s="1" t="s">
        <v>10</v>
      </c>
      <c r="E3">
        <v>28</v>
      </c>
      <c r="F3">
        <v>3</v>
      </c>
      <c r="G3" s="1" t="str">
        <f>INDEX(Lookup!$C:$C,MATCH(C3,Lookup!$A:$A,0))</f>
        <v>Service</v>
      </c>
      <c r="H3" s="1">
        <f>IF(tickets4[[#This Row],[resolution_hours]]&gt;24,1,0)</f>
        <v>1</v>
      </c>
    </row>
    <row r="4" spans="1:8" x14ac:dyDescent="0.3">
      <c r="A4">
        <v>3</v>
      </c>
      <c r="B4" s="1" t="s">
        <v>6</v>
      </c>
      <c r="C4" s="1" t="s">
        <v>11</v>
      </c>
      <c r="D4" s="1" t="s">
        <v>12</v>
      </c>
      <c r="E4">
        <v>36</v>
      </c>
      <c r="F4">
        <v>2</v>
      </c>
      <c r="G4" s="1" t="str">
        <f>INDEX(Lookup!$C:$C,MATCH(C4,Lookup!$A:$A,0))</f>
        <v>Technical</v>
      </c>
      <c r="H4" s="1">
        <f>IF(tickets4[[#This Row],[resolution_hours]]&gt;24,1,0)</f>
        <v>1</v>
      </c>
    </row>
    <row r="5" spans="1:8" x14ac:dyDescent="0.3">
      <c r="A5">
        <v>4</v>
      </c>
      <c r="B5" s="1" t="s">
        <v>6</v>
      </c>
      <c r="C5" s="1" t="s">
        <v>13</v>
      </c>
      <c r="D5" s="1" t="s">
        <v>8</v>
      </c>
      <c r="E5">
        <v>20</v>
      </c>
      <c r="F5">
        <v>4</v>
      </c>
      <c r="G5" s="1" t="str">
        <f>INDEX(Lookup!$C:$C,MATCH(C5,Lookup!$A:$A,0))</f>
        <v>Technical</v>
      </c>
      <c r="H5" s="1">
        <f>IF(tickets4[[#This Row],[resolution_hours]]&gt;24,1,0)</f>
        <v>0</v>
      </c>
    </row>
    <row r="6" spans="1:8" x14ac:dyDescent="0.3">
      <c r="A6">
        <v>5</v>
      </c>
      <c r="B6" s="1" t="s">
        <v>14</v>
      </c>
      <c r="C6" s="1" t="s">
        <v>7</v>
      </c>
      <c r="D6" s="1" t="s">
        <v>10</v>
      </c>
      <c r="E6">
        <v>8</v>
      </c>
      <c r="F6">
        <v>5</v>
      </c>
      <c r="G6" s="1" t="str">
        <f>INDEX(Lookup!$C:$C,MATCH(C6,Lookup!$A:$A,0))</f>
        <v>Service</v>
      </c>
      <c r="H6" s="1">
        <f>IF(tickets4[[#This Row],[resolution_hours]]&gt;24,1,0)</f>
        <v>0</v>
      </c>
    </row>
    <row r="7" spans="1:8" x14ac:dyDescent="0.3">
      <c r="A7">
        <v>6</v>
      </c>
      <c r="B7" s="1" t="s">
        <v>14</v>
      </c>
      <c r="C7" s="1" t="s">
        <v>9</v>
      </c>
      <c r="D7" s="1" t="s">
        <v>12</v>
      </c>
      <c r="E7">
        <v>30</v>
      </c>
      <c r="F7">
        <v>3</v>
      </c>
      <c r="G7" s="1" t="str">
        <f>INDEX(Lookup!$C:$C,MATCH(C7,Lookup!$A:$A,0))</f>
        <v>Service</v>
      </c>
      <c r="H7" s="1">
        <f>IF(tickets4[[#This Row],[resolution_hours]]&gt;24,1,0)</f>
        <v>1</v>
      </c>
    </row>
    <row r="8" spans="1:8" x14ac:dyDescent="0.3">
      <c r="A8">
        <v>7</v>
      </c>
      <c r="B8" s="1" t="s">
        <v>14</v>
      </c>
      <c r="C8" s="1" t="s">
        <v>11</v>
      </c>
      <c r="D8" s="1" t="s">
        <v>8</v>
      </c>
      <c r="E8">
        <v>18</v>
      </c>
      <c r="F8">
        <v>4</v>
      </c>
      <c r="G8" s="1" t="str">
        <f>INDEX(Lookup!$C:$C,MATCH(C8,Lookup!$A:$A,0))</f>
        <v>Technical</v>
      </c>
      <c r="H8" s="1">
        <f>IF(tickets4[[#This Row],[resolution_hours]]&gt;24,1,0)</f>
        <v>0</v>
      </c>
    </row>
    <row r="9" spans="1:8" x14ac:dyDescent="0.3">
      <c r="A9">
        <v>8</v>
      </c>
      <c r="B9" s="1" t="s">
        <v>14</v>
      </c>
      <c r="C9" s="1" t="s">
        <v>13</v>
      </c>
      <c r="D9" s="1" t="s">
        <v>10</v>
      </c>
      <c r="E9">
        <v>40</v>
      </c>
      <c r="F9">
        <v>2</v>
      </c>
      <c r="G9" s="1" t="str">
        <f>INDEX(Lookup!$C:$C,MATCH(C9,Lookup!$A:$A,0))</f>
        <v>Technical</v>
      </c>
      <c r="H9" s="1">
        <f>IF(tickets4[[#This Row],[resolution_hours]]&gt;24,1,0)</f>
        <v>1</v>
      </c>
    </row>
    <row r="10" spans="1:8" x14ac:dyDescent="0.3">
      <c r="A10">
        <v>9</v>
      </c>
      <c r="B10" s="1" t="s">
        <v>15</v>
      </c>
      <c r="C10" s="1" t="s">
        <v>7</v>
      </c>
      <c r="D10" s="1" t="s">
        <v>12</v>
      </c>
      <c r="E10">
        <v>16</v>
      </c>
      <c r="F10">
        <v>4</v>
      </c>
      <c r="G10" s="1" t="str">
        <f>INDEX(Lookup!$C:$C,MATCH(C10,Lookup!$A:$A,0))</f>
        <v>Service</v>
      </c>
      <c r="H10" s="1">
        <f>IF(tickets4[[#This Row],[resolution_hours]]&gt;24,1,0)</f>
        <v>0</v>
      </c>
    </row>
    <row r="11" spans="1:8" x14ac:dyDescent="0.3">
      <c r="A11">
        <v>10</v>
      </c>
      <c r="B11" s="1" t="s">
        <v>15</v>
      </c>
      <c r="C11" s="1" t="s">
        <v>9</v>
      </c>
      <c r="D11" s="1" t="s">
        <v>8</v>
      </c>
      <c r="E11">
        <v>22</v>
      </c>
      <c r="F11">
        <v>4</v>
      </c>
      <c r="G11" s="1" t="str">
        <f>INDEX(Lookup!$C:$C,MATCH(C11,Lookup!$A:$A,0))</f>
        <v>Service</v>
      </c>
      <c r="H11" s="1">
        <f>IF(tickets4[[#This Row],[resolution_hours]]&gt;24,1,0)</f>
        <v>0</v>
      </c>
    </row>
    <row r="12" spans="1:8" x14ac:dyDescent="0.3">
      <c r="A12">
        <v>11</v>
      </c>
      <c r="B12" s="1" t="s">
        <v>15</v>
      </c>
      <c r="C12" s="1" t="s">
        <v>11</v>
      </c>
      <c r="D12" s="1" t="s">
        <v>10</v>
      </c>
      <c r="E12">
        <v>32</v>
      </c>
      <c r="F12">
        <v>3</v>
      </c>
      <c r="G12" s="1" t="str">
        <f>INDEX(Lookup!$C:$C,MATCH(C12,Lookup!$A:$A,0))</f>
        <v>Technical</v>
      </c>
      <c r="H12" s="1">
        <f>IF(tickets4[[#This Row],[resolution_hours]]&gt;24,1,0)</f>
        <v>1</v>
      </c>
    </row>
    <row r="13" spans="1:8" x14ac:dyDescent="0.3">
      <c r="A13">
        <v>12</v>
      </c>
      <c r="B13" s="1" t="s">
        <v>15</v>
      </c>
      <c r="C13" s="1" t="s">
        <v>13</v>
      </c>
      <c r="D13" s="1" t="s">
        <v>12</v>
      </c>
      <c r="E13">
        <v>24</v>
      </c>
      <c r="F13">
        <v>5</v>
      </c>
      <c r="G13" s="1" t="str">
        <f>INDEX(Lookup!$C:$C,MATCH(C13,Lookup!$A:$A,0))</f>
        <v>Technical</v>
      </c>
      <c r="H13" s="1">
        <f>IF(tickets4[[#This Row],[resolution_hours]]&gt;24,1,0)</f>
        <v>0</v>
      </c>
    </row>
    <row r="17" spans="1:2" x14ac:dyDescent="0.3">
      <c r="A17" t="s">
        <v>25</v>
      </c>
      <c r="B17">
        <f>COUNT(tickets[ticket_id])</f>
        <v>13</v>
      </c>
    </row>
    <row r="18" spans="1:2" x14ac:dyDescent="0.3">
      <c r="A18" t="s">
        <v>24</v>
      </c>
      <c r="B18">
        <f>COUNT(tickets4[ticket_id])</f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F34F-E4AE-4B84-A476-B7F48730F0A7}">
  <dimension ref="A1:E11"/>
  <sheetViews>
    <sheetView workbookViewId="0">
      <selection activeCell="B7" sqref="B7"/>
    </sheetView>
  </sheetViews>
  <sheetFormatPr defaultRowHeight="14.4" x14ac:dyDescent="0.3"/>
  <cols>
    <col min="1" max="1" width="20.88671875" bestFit="1" customWidth="1"/>
    <col min="2" max="2" width="17.5546875" bestFit="1" customWidth="1"/>
    <col min="3" max="4" width="4.109375" bestFit="1" customWidth="1"/>
    <col min="5" max="5" width="10.5546875" bestFit="1" customWidth="1"/>
  </cols>
  <sheetData>
    <row r="1" spans="1:5" x14ac:dyDescent="0.3">
      <c r="A1" t="s">
        <v>27</v>
      </c>
      <c r="B1" t="s">
        <v>30</v>
      </c>
    </row>
    <row r="2" spans="1:5" x14ac:dyDescent="0.3">
      <c r="A2" t="s">
        <v>29</v>
      </c>
      <c r="B2">
        <f>COUNTIFS(Clean!D:D,"Email",Clean!H:H,1)</f>
        <v>0</v>
      </c>
    </row>
    <row r="3" spans="1:5" x14ac:dyDescent="0.3">
      <c r="A3" t="s">
        <v>10</v>
      </c>
      <c r="B3">
        <f>COUNTIFS(Clean!D:D,"Chat",Clean!H:H,1)</f>
        <v>3</v>
      </c>
    </row>
    <row r="4" spans="1:5" x14ac:dyDescent="0.3">
      <c r="A4" t="s">
        <v>28</v>
      </c>
      <c r="B4">
        <f>COUNTIFS(Clean!D:D,"Phone",Clean!H:H,1)</f>
        <v>2</v>
      </c>
    </row>
    <row r="7" spans="1:5" x14ac:dyDescent="0.3">
      <c r="A7" s="3" t="s">
        <v>34</v>
      </c>
      <c r="B7" s="3" t="s">
        <v>33</v>
      </c>
    </row>
    <row r="8" spans="1:5" x14ac:dyDescent="0.3">
      <c r="A8" s="3" t="s">
        <v>31</v>
      </c>
      <c r="B8" t="s">
        <v>6</v>
      </c>
      <c r="C8" t="s">
        <v>14</v>
      </c>
      <c r="D8" t="s">
        <v>15</v>
      </c>
      <c r="E8" t="s">
        <v>32</v>
      </c>
    </row>
    <row r="9" spans="1:5" x14ac:dyDescent="0.3">
      <c r="A9" s="4" t="s">
        <v>19</v>
      </c>
      <c r="B9" s="1">
        <v>40</v>
      </c>
      <c r="C9" s="1">
        <v>38</v>
      </c>
      <c r="D9" s="1">
        <v>38</v>
      </c>
      <c r="E9" s="1">
        <v>116</v>
      </c>
    </row>
    <row r="10" spans="1:5" x14ac:dyDescent="0.3">
      <c r="A10" s="4" t="s">
        <v>22</v>
      </c>
      <c r="B10" s="1">
        <v>56</v>
      </c>
      <c r="C10" s="1">
        <v>58</v>
      </c>
      <c r="D10" s="1">
        <v>56</v>
      </c>
      <c r="E10" s="1">
        <v>170</v>
      </c>
    </row>
    <row r="11" spans="1:5" x14ac:dyDescent="0.3">
      <c r="A11" s="4" t="s">
        <v>32</v>
      </c>
      <c r="B11" s="1">
        <v>96</v>
      </c>
      <c r="C11" s="1">
        <v>96</v>
      </c>
      <c r="D11" s="1">
        <v>94</v>
      </c>
      <c r="E11" s="1">
        <v>286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AAEFE8-A6A2-4660-B4AC-B0C9AF8395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Student</dc:creator>
  <cp:lastModifiedBy>Home Student</cp:lastModifiedBy>
  <dcterms:created xsi:type="dcterms:W3CDTF">2026-10-03T06:09:35Z</dcterms:created>
  <dcterms:modified xsi:type="dcterms:W3CDTF">2026-10-03T07:38:25Z</dcterms:modified>
</cp:coreProperties>
</file>